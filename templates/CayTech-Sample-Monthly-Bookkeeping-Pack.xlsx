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Report" sheetId="1" state="visible" r:id="rId3"/>
    <sheet name="Rent Roll" sheetId="2" state="visible" r:id="rId4"/>
    <sheet name="Bar Stock &amp; Sales" sheetId="3" state="visible" r:id="rId5"/>
    <sheet name="Expenses" sheetId="4" state="visible" r:id="rId6"/>
    <sheet name="Cash &amp; Reconciliation" sheetId="5" state="visible" r:id="rId7"/>
    <sheet name="Messy to Clean" sheetId="6" state="visible" r:id="rId8"/>
    <sheet name="About &amp; Process" sheetId="7" state="visible" r:id="rId9"/>
  </sheets>
  <definedNames>
    <definedName function="false" hidden="false" localSheetId="0" name="_xlnm.Print_Area" vbProcedure="false">'Monthly Report'!$A$1:$E$70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<sst xmlns="http://schemas.openxmlformats.org/spreadsheetml/2006/main" count="211" uniqueCount="177">
  <si>
    <t xml:space="preserve">Monthly Bookkeeping Report: September 2026</t>
  </si>
  <si>
    <t xml:space="preserve">SAMPLE DATA: fictional business and figures, for demonstration only. Not a real client.</t>
  </si>
  <si>
    <t xml:space="preserve">Client: "Sample Rentals &amp; Bar" (fictional)  |  Prepared by Caristo Mulenga, CayTech Digital Solutions  |  30 Sep 2026</t>
  </si>
  <si>
    <t xml:space="preserve">Basis: management report, earned basis (see Basis and assumptions below). Not an audit.</t>
  </si>
  <si>
    <t xml:space="preserve">1. Profit for the month</t>
  </si>
  <si>
    <t xml:space="preserve">Sep 2026</t>
  </si>
  <si>
    <t xml:space="preserve">Aug 2026</t>
  </si>
  <si>
    <t xml:space="preserve">Change</t>
  </si>
  <si>
    <t xml:space="preserve">Rent due</t>
  </si>
  <si>
    <t xml:space="preserve">Bar sales (from stock movement)</t>
  </si>
  <si>
    <t xml:space="preserve">Less: cost of bar sales</t>
  </si>
  <si>
    <t xml:space="preserve">Less: operating expenses</t>
  </si>
  <si>
    <t xml:space="preserve">Less: unexplained bar shortfall</t>
  </si>
  <si>
    <t xml:space="preserve">NET PROFIT</t>
  </si>
  <si>
    <t xml:space="preserve">2. Key indicators</t>
  </si>
  <si>
    <t xml:space="preserve">Rent collected</t>
  </si>
  <si>
    <t xml:space="preserve">Rent collection rate</t>
  </si>
  <si>
    <t xml:space="preserve">Rent owing at month end (all tenants)</t>
  </si>
  <si>
    <t xml:space="preserve">Bar gross margin</t>
  </si>
  <si>
    <t xml:space="preserve">Bar shortfall as % of bar sales</t>
  </si>
  <si>
    <t xml:space="preserve">3. From profit to cash</t>
  </si>
  <si>
    <t xml:space="preserve">Net profit</t>
  </si>
  <si>
    <t xml:space="preserve">Less: increase in rent owed (earned, not yet received)</t>
  </si>
  <si>
    <t xml:space="preserve">Less: stock bought but not yet sold</t>
  </si>
  <si>
    <t xml:space="preserve">Cash movement for the month</t>
  </si>
  <si>
    <t xml:space="preserve">Check against cash sheet</t>
  </si>
  <si>
    <t xml:space="preserve">Closing balance per records, 30 Sept</t>
  </si>
  <si>
    <t xml:space="preserve">Closing balance per statements</t>
  </si>
  <si>
    <t xml:space="preserve">Reconciliation status</t>
  </si>
  <si>
    <t xml:space="preserve">4. Operating expenses by category</t>
  </si>
  <si>
    <t xml:space="preserve">Electricity</t>
  </si>
  <si>
    <t xml:space="preserve">Water</t>
  </si>
  <si>
    <t xml:space="preserve">Wages</t>
  </si>
  <si>
    <t xml:space="preserve">Repairs</t>
  </si>
  <si>
    <t xml:space="preserve">Transport</t>
  </si>
  <si>
    <t xml:space="preserve">Security</t>
  </si>
  <si>
    <t xml:space="preserve">Other</t>
  </si>
  <si>
    <t xml:space="preserve">Total operating expenses</t>
  </si>
  <si>
    <t xml:space="preserve">5. Findings and recommendations</t>
  </si>
  <si>
    <t xml:space="preserve">6. Basis and assumptions</t>
  </si>
  <si>
    <t xml:space="preserve">Basis: management report on an earned basis. Rent is counted when due, bar sales from stock movement, costs when incurred. Cash is shown separately in section 3 and on the Cash &amp; Reconciliation sheet.</t>
  </si>
  <si>
    <t xml:space="preserve">This is not an audit or a tax return. It is prepared from records supplied by the client and not independently verified. ZRA tax matters are outside this report.</t>
  </si>
  <si>
    <t xml:space="preserve">Assumptions: all rooms billed on the 1st; stock counted by the client on the last day of the month; selling prices unchanged during the month; bar takings are cash plus mobile money only (no credit sales).</t>
  </si>
  <si>
    <t xml:space="preserve">Each month I need: rent receipts, stock counts, daily takings, supplier invoices, expense receipts and bank / mobile money statements. See About &amp; Process.</t>
  </si>
  <si>
    <t xml:space="preserve">Prepared by Caristo Mulenga | CayTech Digital Solutions | WhatsApp +260 963 149 074</t>
  </si>
  <si>
    <t xml:space="preserve">All names, amounts and the business are invented to demonstrate a layout. They are not real client records.</t>
  </si>
  <si>
    <t xml:space="preserve">Rent Roll: September 2026</t>
  </si>
  <si>
    <t xml:space="preserve">Unit</t>
  </si>
  <si>
    <t xml:space="preserve">Tenant (fictional)</t>
  </si>
  <si>
    <t xml:space="preserve">Rent due (K)</t>
  </si>
  <si>
    <t xml:space="preserve">Paid (K)</t>
  </si>
  <si>
    <t xml:space="preserve">Balance, Sept (K)</t>
  </si>
  <si>
    <t xml:space="preserve">Brought forward (K)</t>
  </si>
  <si>
    <t xml:space="preserve">Total owing (K)</t>
  </si>
  <si>
    <t xml:space="preserve">Months owing</t>
  </si>
  <si>
    <t xml:space="preserve">Suggested action</t>
  </si>
  <si>
    <t xml:space="preserve">Room 1</t>
  </si>
  <si>
    <t xml:space="preserve">Tenant A</t>
  </si>
  <si>
    <t xml:space="preserve">Room 2</t>
  </si>
  <si>
    <t xml:space="preserve">Tenant B</t>
  </si>
  <si>
    <t xml:space="preserve">Room 3</t>
  </si>
  <si>
    <t xml:space="preserve">Tenant C</t>
  </si>
  <si>
    <t xml:space="preserve">Room 4</t>
  </si>
  <si>
    <t xml:space="preserve">Tenant D</t>
  </si>
  <si>
    <t xml:space="preserve">Room 5</t>
  </si>
  <si>
    <t xml:space="preserve">Tenant E</t>
  </si>
  <si>
    <t xml:space="preserve">Room 6</t>
  </si>
  <si>
    <t xml:space="preserve">Tenant F</t>
  </si>
  <si>
    <t xml:space="preserve">Total</t>
  </si>
  <si>
    <t xml:space="preserve">Brought forward = unpaid rent from August. Months owing = total owing divided by monthly rent, rounded up.</t>
  </si>
  <si>
    <t xml:space="preserve">Bar Stock, Sales and Takings Check: September 2026</t>
  </si>
  <si>
    <t xml:space="preserve">Item</t>
  </si>
  <si>
    <t xml:space="preserve">Opening stock</t>
  </si>
  <si>
    <t xml:space="preserve">Purchased</t>
  </si>
  <si>
    <t xml:space="preserve">Closing stock</t>
  </si>
  <si>
    <t xml:space="preserve">Units sold</t>
  </si>
  <si>
    <t xml:space="preserve">Cost price (K)</t>
  </si>
  <si>
    <t xml:space="preserve">Selling price (K)</t>
  </si>
  <si>
    <t xml:space="preserve">Sales (K)</t>
  </si>
  <si>
    <t xml:space="preserve">Cost of sales (K)</t>
  </si>
  <si>
    <t xml:space="preserve">Gross profit (K)</t>
  </si>
  <si>
    <t xml:space="preserve">Purchases (K)</t>
  </si>
  <si>
    <t xml:space="preserve">Lager (bottle)</t>
  </si>
  <si>
    <t xml:space="preserve">Premium lager (bottle)</t>
  </si>
  <si>
    <t xml:space="preserve">Soft drink (300ml)</t>
  </si>
  <si>
    <t xml:space="preserve">Bottled water (500ml)</t>
  </si>
  <si>
    <t xml:space="preserve">Opaque beer (2L)</t>
  </si>
  <si>
    <t xml:space="preserve">Units sold = opening + purchased - closing. Gross margin:</t>
  </si>
  <si>
    <t xml:space="preserve">Takings check: does the money match the stock?</t>
  </si>
  <si>
    <t xml:space="preserve">Expected sales (from stock movement)</t>
  </si>
  <si>
    <t xml:space="preserve">Cash takings recorded</t>
  </si>
  <si>
    <t xml:space="preserve">Mobile money takings recorded</t>
  </si>
  <si>
    <t xml:space="preserve">Total takings recorded</t>
  </si>
  <si>
    <t xml:space="preserve">Shortfall (-) or surplus (+)</t>
  </si>
  <si>
    <t xml:space="preserve">Shortfall as % of expected sales</t>
  </si>
  <si>
    <t xml:space="preserve">Tolerance allowed</t>
  </si>
  <si>
    <t xml:space="preserve">Result</t>
  </si>
  <si>
    <t xml:space="preserve">Shortfall in bottles of lager (at selling price)</t>
  </si>
  <si>
    <t xml:space="preserve">Common causes to check first: unrecorded credit sales, free or staff drinks, breakages, wrong prices charged, takings used before recording, miscounted stock.</t>
  </si>
  <si>
    <t xml:space="preserve">A shortfall is a question to ask, not proof of theft.</t>
  </si>
  <si>
    <t xml:space="preserve">Expense Log: September 2026</t>
  </si>
  <si>
    <t xml:space="preserve">Date</t>
  </si>
  <si>
    <t xml:space="preserve">Category</t>
  </si>
  <si>
    <t xml:space="preserve">Description</t>
  </si>
  <si>
    <t xml:space="preserve">Amount (K)</t>
  </si>
  <si>
    <t xml:space="preserve">2026-09-02</t>
  </si>
  <si>
    <t xml:space="preserve">Prepaid units</t>
  </si>
  <si>
    <t xml:space="preserve">2026-09-03</t>
  </si>
  <si>
    <t xml:space="preserve">Monthly bill</t>
  </si>
  <si>
    <t xml:space="preserve">2026-09-05</t>
  </si>
  <si>
    <t xml:space="preserve">Bar attendant</t>
  </si>
  <si>
    <t xml:space="preserve">Cleaner / caretaker</t>
  </si>
  <si>
    <t xml:space="preserve">2026-09-09</t>
  </si>
  <si>
    <t xml:space="preserve">Room 3 door lock</t>
  </si>
  <si>
    <t xml:space="preserve">2026-09-12</t>
  </si>
  <si>
    <t xml:space="preserve">Stock collection</t>
  </si>
  <si>
    <t xml:space="preserve">2026-09-15</t>
  </si>
  <si>
    <t xml:space="preserve">Guard contribution</t>
  </si>
  <si>
    <t xml:space="preserve">2026-09-18</t>
  </si>
  <si>
    <t xml:space="preserve">Plumbing, shared bathroom</t>
  </si>
  <si>
    <t xml:space="preserve">2026-09-24</t>
  </si>
  <si>
    <t xml:space="preserve">Cleaning supplies</t>
  </si>
  <si>
    <t xml:space="preserve">2026-09-28</t>
  </si>
  <si>
    <t xml:space="preserve">Cash and Reconciliation: September 2026</t>
  </si>
  <si>
    <t xml:space="preserve">Cash = cash in hand + bank + mobile money (MTN / Airtel).</t>
  </si>
  <si>
    <t xml:space="preserve">Opening balance, 1 Sept (per records)</t>
  </si>
  <si>
    <t xml:space="preserve">Add: rent collected</t>
  </si>
  <si>
    <t xml:space="preserve">Add: bar takings recorded</t>
  </si>
  <si>
    <t xml:space="preserve">Less: stock purchases</t>
  </si>
  <si>
    <t xml:space="preserve">Closing balance, 30 Sept (per records)</t>
  </si>
  <si>
    <t xml:space="preserve">Balance per bank / mobile money statements</t>
  </si>
  <si>
    <t xml:space="preserve">Difference (statements minus records)</t>
  </si>
  <si>
    <t xml:space="preserve">Status</t>
  </si>
  <si>
    <t xml:space="preserve">A small difference like this is usually mobile money charges not yet entered. Anything above the tolerance is traced line by line before the report is issued.</t>
  </si>
  <si>
    <t xml:space="preserve">From Messy Notes to Clean Records</t>
  </si>
  <si>
    <t xml:space="preserve">Fictional example of what a client sends, how it is entered, and what gets queried. Nothing is guessed silently.</t>
  </si>
  <si>
    <t xml:space="preserve">What the client sent (typed copy of a notebook)</t>
  </si>
  <si>
    <t xml:space="preserve">Entered in</t>
  </si>
  <si>
    <t xml:space="preserve">Entered as</t>
  </si>
  <si>
    <t xml:space="preserve">5/9 lager 240 btl pd cash 3360</t>
  </si>
  <si>
    <t xml:space="preserve">Bar: purchases</t>
  </si>
  <si>
    <t xml:space="preserve">Lager, 240 bottles, K3,360</t>
  </si>
  <si>
    <t xml:space="preserve">Entered</t>
  </si>
  <si>
    <t xml:space="preserve">rm3 half rent 400</t>
  </si>
  <si>
    <t xml:space="preserve">Rent Roll</t>
  </si>
  <si>
    <t xml:space="preserve">Room 3, paid K400, balance K400</t>
  </si>
  <si>
    <t xml:space="preserve">elec 400 28/9</t>
  </si>
  <si>
    <t xml:space="preserve">Expenses</t>
  </si>
  <si>
    <t xml:space="preserve">28 Sep, Electricity, K400</t>
  </si>
  <si>
    <t xml:space="preserve">door lock rm3 180</t>
  </si>
  <si>
    <t xml:space="preserve">9 Sep, Repairs, K180</t>
  </si>
  <si>
    <t xml:space="preserve">sat takings approx 1300?? mm + cash</t>
  </si>
  <si>
    <t xml:space="preserve">Bar: takings</t>
  </si>
  <si>
    <t xml:space="preserve">Not entered: amount unclear</t>
  </si>
  <si>
    <t xml:space="preserve">Query sent to client</t>
  </si>
  <si>
    <t xml:space="preserve">Rm5 will pay next wk</t>
  </si>
  <si>
    <t xml:space="preserve">Room 5, paid K0, noted promise to pay</t>
  </si>
  <si>
    <t xml:space="preserve">Follow up next month</t>
  </si>
  <si>
    <t xml:space="preserve">About this Service</t>
  </si>
  <si>
    <t xml:space="preserve">Prepared by</t>
  </si>
  <si>
    <t xml:space="preserve">Caristo Mulenga, CayTech Digital Solutions, Ndola, Zambia</t>
  </si>
  <si>
    <t xml:space="preserve">Qualifications, stated plainly</t>
  </si>
  <si>
    <t xml:space="preserve">ZICA Diploma in Accountancy (in progress). Two years of experience as an assistant accountant. I am not a qualified or registered accountant. This is bookkeeping and management reporting, not audit, tax or legal advice.</t>
  </si>
  <si>
    <t xml:space="preserve">What is included</t>
  </si>
  <si>
    <t xml:space="preserve">Monthly rent roll with arrears follow-up list; bar stock and takings check; expense log; cash reconciliation to your bank / mobile money statements; monthly report with plain-language findings.</t>
  </si>
  <si>
    <t xml:space="preserve">What is not included</t>
  </si>
  <si>
    <t xml:space="preserve">Audits, tax returns or ZRA filings, payroll statutory returns, legal advice. Payroll support can be quoted separately.</t>
  </si>
  <si>
    <t xml:space="preserve">Monthly timeline</t>
  </si>
  <si>
    <t xml:space="preserve">By the 3rd: you send records. By the 7th: I send you any questions. By the 10th: you receive the report.</t>
  </si>
  <si>
    <t xml:space="preserve">What I need from you</t>
  </si>
  <si>
    <t xml:space="preserve">Rent receipts, weekly stock counts, daily takings, supplier invoices and receipts, bank / mobile money statements. Photos of notebooks are fine.</t>
  </si>
  <si>
    <t xml:space="preserve">Price</t>
  </si>
  <si>
    <t xml:space="preserve">From K600 per month, depending on the number of units and the volume of records. A written quote is given before any work starts.</t>
  </si>
  <si>
    <t xml:space="preserve">Confidentiality</t>
  </si>
  <si>
    <t xml:space="preserve">Your records are used only to prepare your reports, are kept in password-protected files, and are not shared with anyone. On request, they are returned and deleted when we stop working together.</t>
  </si>
  <si>
    <t xml:space="preserve">Contact</t>
  </si>
  <si>
    <t xml:space="preserve">WhatsApp +260 963 149 074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</si>
</sst>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K#,##0"/>
    <numFmt numFmtId="166" formatCode="&quot;+K&quot;#,##0;&quot;-K&quot;#,##0;\K0"/>
    <numFmt numFmtId="167" formatCode="0%"/>
    <numFmt numFmtId="168" formatCode="\+0.0%;\-0.0%;0.0%"/>
    <numFmt numFmtId="169" formatCode="0.0%"/>
    <numFmt numFmtId="170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11844"/>
      <name val="Arial"/>
      <family val="0"/>
      <charset val="1"/>
    </font>
    <font>
      <b val="true"/>
      <sz val="9"/>
      <color rgb="FFB03A2E"/>
      <name val="Arial"/>
      <family val="0"/>
      <charset val="1"/>
    </font>
    <font>
      <sz val="9"/>
      <color rgb="FF6E7B9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11844"/>
      <name val="Arial"/>
      <family val="0"/>
      <charset val="1"/>
    </font>
    <font>
      <i val="true"/>
      <sz val="8"/>
      <color rgb="FF6E7B91"/>
      <name val="Arial"/>
      <family val="0"/>
      <charset val="1"/>
    </font>
    <font>
      <b val="true"/>
      <sz val="11"/>
      <color rgb="FF011844"/>
      <name val="Arial"/>
      <family val="2"/>
    </font>
    <font>
      <sz val="9"/>
      <color rgb="FF000000"/>
      <name val="Arial"/>
      <family val="2"/>
    </font>
    <font>
      <b val="true"/>
      <sz val="8"/>
      <color rgb="FF000000"/>
      <name val="Arial"/>
      <family val="0"/>
      <charset val="1"/>
    </font>
    <font>
      <b val="true"/>
      <sz val="11"/>
      <color rgb="FF011844"/>
      <name val="Arial"/>
      <family val="0"/>
      <charset val="1"/>
    </font>
    <font>
      <b val="true"/>
      <sz val="10"/>
      <color rgb="FFB03A2E"/>
      <name val="Arial"/>
      <family val="0"/>
      <charset val="1"/>
    </font>
    <font>
      <b val="true"/>
      <sz val="10"/>
      <color rgb="FF0118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11844"/>
        <bgColor rgb="FF000080"/>
      </patternFill>
    </fill>
    <fill>
      <patternFill patternType="solid">
        <fgColor rgb="FFEA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AF2FF"/>
      <rgbColor rgb="FF660066"/>
      <rgbColor rgb="FFFF8080"/>
      <rgbColor rgb="FF0077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B91"/>
      <rgbColor rgb="FF969696"/>
      <rgbColor rgb="FF011844"/>
      <rgbColor rgb="FF339966"/>
      <rgbColor rgb="FF003300"/>
      <rgbColor rgb="FF333300"/>
      <rgbColor rgb="FFB0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11844"/>
                </a:solidFill>
                <a:latin typeface="Arial"/>
              </a:defRPr>
            </a:pPr>
            <a:r>
              <a:rPr b="1" sz="1100" spc="-1" strike="noStrike">
                <a:solidFill>
                  <a:srgbClr val="011844"/>
                </a:solidFill>
                <a:latin typeface="Arial"/>
              </a:rPr>
              <a:t>Expenses by category, Sept 2026 (K)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77ff"/>
            </a:solidFill>
            <a:ln w="0">
              <a:solidFill>
                <a:srgbClr val="0077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Report'!$B$32:$B$38</c:f>
              <c:strCache>
                <c:ptCount val="7"/>
                <c:pt idx="0">
                  <c:v>Electricity</c:v>
                </c:pt>
                <c:pt idx="1">
                  <c:v>Water</c:v>
                </c:pt>
                <c:pt idx="2">
                  <c:v>Wages</c:v>
                </c:pt>
                <c:pt idx="3">
                  <c:v>Repairs</c:v>
                </c:pt>
                <c:pt idx="4">
                  <c:v>Transport</c:v>
                </c:pt>
                <c:pt idx="5">
                  <c:v>Security</c:v>
                </c:pt>
                <c:pt idx="6">
                  <c:v>Other</c:v>
                </c:pt>
              </c:strCache>
            </c:strRef>
          </c:cat>
          <c:val>
            <c:numRef>
              <c:f>'Monthly Report'!$C$32:$C$38</c:f>
              <c:numCache>
                <c:formatCode>\K#,##0</c:formatCode>
                <c:ptCount val="7"/>
                <c:pt idx="0">
                  <c:v>850</c:v>
                </c:pt>
                <c:pt idx="1">
                  <c:v>120</c:v>
                </c:pt>
                <c:pt idx="2">
                  <c:v>1400</c:v>
                </c:pt>
                <c:pt idx="3">
                  <c:v>430</c:v>
                </c:pt>
                <c:pt idx="4">
                  <c:v>150</c:v>
                </c:pt>
                <c:pt idx="5">
                  <c:v>300</c:v>
                </c:pt>
                <c:pt idx="6">
                  <c:v>90</c:v>
                </c:pt>
              </c:numCache>
            </c:numRef>
          </c:val>
        </c:ser>
        <c:gapWidth val="60"/>
        <c:overlap val="0"/>
        <c:axId val="83433310"/>
        <c:axId val="57683237"/>
      </c:barChart>
      <c:catAx>
        <c:axId val="83433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7683237"/>
        <c:crosses val="autoZero"/>
        <c:auto val="1"/>
        <c:lblAlgn val="ctr"/>
        <c:lblOffset val="100"/>
        <c:noMultiLvlLbl val="0"/>
      </c:catAx>
      <c:valAx>
        <c:axId val="57683237"/>
        <c:scaling>
          <c:orientation val="minMax"/>
        </c:scaling>
        <c:delete val="0"/>
        <c:axPos val="l"/>
        <c:numFmt formatCode="\K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3433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131040</xdr:rowOff>
    </xdr:from>
    <xdr:to>
      <xdr:col>4</xdr:col>
      <xdr:colOff>762480</xdr:colOff>
      <xdr:row>54</xdr:row>
      <xdr:rowOff>55440</xdr:rowOff>
    </xdr:to>
    <xdr:graphicFrame>
      <xdr:nvGraphicFramePr>
        <xdr:cNvPr id="0" name="Chart 1"/>
        <xdr:cNvGraphicFramePr/>
      </xdr:nvGraphicFramePr>
      <xdr:xfrm>
        <a:off x="211320" y="781056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0"/>
    <col collapsed="false" customWidth="true" hidden="false" outlineLevel="0" max="5" min="3" style="0" width="22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3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  <c r="D6" s="5" t="s">
        <v>6</v>
      </c>
      <c r="E6" s="5" t="s">
        <v>7</v>
      </c>
    </row>
    <row r="7" customFormat="false" ht="15" hidden="false" customHeight="false" outlineLevel="0" collapsed="false">
      <c r="B7" s="6" t="s">
        <v>8</v>
      </c>
      <c r="C7" s="7" t="n">
        <f aca="false">'Rent Roll'!D11</f>
        <v>5400</v>
      </c>
      <c r="D7" s="8" t="n">
        <v>5400</v>
      </c>
      <c r="E7" s="9" t="n">
        <f aca="false">C7-D7</f>
        <v>0</v>
      </c>
    </row>
    <row r="8" customFormat="false" ht="15" hidden="false" customHeight="false" outlineLevel="0" collapsed="false">
      <c r="B8" s="6" t="s">
        <v>9</v>
      </c>
      <c r="C8" s="7" t="n">
        <f aca="false">'Bar Stock &amp; Sales'!I10</f>
        <v>11992</v>
      </c>
      <c r="D8" s="8" t="n">
        <v>10850</v>
      </c>
      <c r="E8" s="9" t="n">
        <f aca="false">C8-D8</f>
        <v>1142</v>
      </c>
    </row>
    <row r="9" customFormat="false" ht="15" hidden="false" customHeight="false" outlineLevel="0" collapsed="false">
      <c r="B9" s="6" t="s">
        <v>10</v>
      </c>
      <c r="C9" s="7" t="n">
        <f aca="false">'Bar Stock &amp; Sales'!J10</f>
        <v>7664</v>
      </c>
      <c r="D9" s="8" t="n">
        <v>6950</v>
      </c>
      <c r="E9" s="9" t="n">
        <f aca="false">C9-D9</f>
        <v>714</v>
      </c>
    </row>
    <row r="10" customFormat="false" ht="15" hidden="false" customHeight="false" outlineLevel="0" collapsed="false">
      <c r="B10" s="6" t="s">
        <v>11</v>
      </c>
      <c r="C10" s="7" t="n">
        <f aca="false">C40</f>
        <v>3340</v>
      </c>
      <c r="D10" s="10" t="n">
        <f aca="false">D40</f>
        <v>3120</v>
      </c>
      <c r="E10" s="9" t="n">
        <f aca="false">C10-D10</f>
        <v>220</v>
      </c>
    </row>
    <row r="11" customFormat="false" ht="15" hidden="false" customHeight="false" outlineLevel="0" collapsed="false">
      <c r="B11" s="6" t="s">
        <v>12</v>
      </c>
      <c r="C11" s="7" t="n">
        <f aca="false">MAX(0,-'Bar Stock &amp; Sales'!E18)</f>
        <v>572</v>
      </c>
      <c r="D11" s="8" t="n">
        <v>150</v>
      </c>
      <c r="E11" s="9" t="n">
        <f aca="false">C11-D11</f>
        <v>422</v>
      </c>
    </row>
    <row r="12" customFormat="false" ht="15" hidden="false" customHeight="false" outlineLevel="0" collapsed="false">
      <c r="B12" s="11" t="s">
        <v>13</v>
      </c>
      <c r="C12" s="12" t="n">
        <f aca="false">C7+C8-C9-C10-C11</f>
        <v>5816</v>
      </c>
      <c r="D12" s="12" t="n">
        <f aca="false">D7+D8-D9-D10-D11</f>
        <v>6030</v>
      </c>
      <c r="E12" s="13" t="n">
        <f aca="false">C12-D12</f>
        <v>-214</v>
      </c>
    </row>
    <row r="14" customFormat="false" ht="15" hidden="false" customHeight="false" outlineLevel="0" collapsed="false">
      <c r="B14" s="4" t="s">
        <v>14</v>
      </c>
      <c r="C14" s="5" t="s">
        <v>5</v>
      </c>
      <c r="D14" s="5" t="s">
        <v>6</v>
      </c>
      <c r="E14" s="5" t="s">
        <v>7</v>
      </c>
    </row>
    <row r="15" customFormat="false" ht="15" hidden="false" customHeight="false" outlineLevel="0" collapsed="false">
      <c r="B15" s="6" t="s">
        <v>15</v>
      </c>
      <c r="C15" s="7" t="n">
        <f aca="false">'Rent Roll'!E11</f>
        <v>4000</v>
      </c>
      <c r="D15" s="8" t="n">
        <v>4900</v>
      </c>
      <c r="E15" s="9" t="n">
        <f aca="false">C15-D15</f>
        <v>-900</v>
      </c>
    </row>
    <row r="16" customFormat="false" ht="15" hidden="false" customHeight="false" outlineLevel="0" collapsed="false">
      <c r="B16" s="6" t="s">
        <v>16</v>
      </c>
      <c r="C16" s="14" t="n">
        <f aca="false">C15/C7</f>
        <v>0.740740740740741</v>
      </c>
      <c r="D16" s="14" t="n">
        <f aca="false">D15/D7</f>
        <v>0.907407407407407</v>
      </c>
      <c r="E16" s="15" t="n">
        <f aca="false">C16-D16</f>
        <v>-0.166666666666667</v>
      </c>
    </row>
    <row r="17" customFormat="false" ht="15" hidden="false" customHeight="false" outlineLevel="0" collapsed="false">
      <c r="B17" s="6" t="s">
        <v>17</v>
      </c>
      <c r="C17" s="7" t="n">
        <f aca="false">'Rent Roll'!H11</f>
        <v>1900</v>
      </c>
      <c r="D17" s="8" t="n">
        <v>500</v>
      </c>
      <c r="E17" s="9" t="n">
        <f aca="false">C17-D17</f>
        <v>1400</v>
      </c>
    </row>
    <row r="18" customFormat="false" ht="15" hidden="false" customHeight="false" outlineLevel="0" collapsed="false">
      <c r="B18" s="6" t="s">
        <v>18</v>
      </c>
      <c r="C18" s="14" t="n">
        <f aca="false">(C8-C9)/C8</f>
        <v>0.360907271514343</v>
      </c>
      <c r="D18" s="14" t="n">
        <f aca="false">(D8-D9)/D8</f>
        <v>0.359447004608295</v>
      </c>
      <c r="E18" s="15" t="n">
        <f aca="false">C18-D18</f>
        <v>0.00146026690604795</v>
      </c>
    </row>
    <row r="19" customFormat="false" ht="15" hidden="false" customHeight="false" outlineLevel="0" collapsed="false">
      <c r="B19" s="6" t="s">
        <v>19</v>
      </c>
      <c r="C19" s="16" t="n">
        <f aca="false">C11/C8</f>
        <v>0.0476984656437625</v>
      </c>
      <c r="D19" s="16" t="n">
        <f aca="false">D11/D8</f>
        <v>0.0138248847926267</v>
      </c>
      <c r="E19" s="15" t="n">
        <f aca="false">C19-D19</f>
        <v>0.0338735808511358</v>
      </c>
    </row>
    <row r="21" customFormat="false" ht="15" hidden="false" customHeight="false" outlineLevel="0" collapsed="false">
      <c r="B21" s="4" t="s">
        <v>20</v>
      </c>
      <c r="C21" s="5"/>
      <c r="D21" s="5"/>
      <c r="E21" s="5"/>
    </row>
    <row r="22" customFormat="false" ht="15" hidden="false" customHeight="false" outlineLevel="0" collapsed="false">
      <c r="B22" s="6" t="s">
        <v>21</v>
      </c>
      <c r="C22" s="7" t="n">
        <f aca="false">C12</f>
        <v>5816</v>
      </c>
      <c r="D22" s="6"/>
      <c r="E22" s="6"/>
    </row>
    <row r="23" customFormat="false" ht="15" hidden="false" customHeight="false" outlineLevel="0" collapsed="false">
      <c r="B23" s="6" t="s">
        <v>22</v>
      </c>
      <c r="C23" s="7" t="n">
        <f aca="false">'Rent Roll'!H11-'Rent Roll'!G11</f>
        <v>1400</v>
      </c>
      <c r="D23" s="6"/>
      <c r="E23" s="6"/>
    </row>
    <row r="24" customFormat="false" ht="15" hidden="false" customHeight="false" outlineLevel="0" collapsed="false">
      <c r="B24" s="6" t="s">
        <v>23</v>
      </c>
      <c r="C24" s="7" t="n">
        <f aca="false">'Bar Stock &amp; Sales'!L10-'Bar Stock &amp; Sales'!J10</f>
        <v>604</v>
      </c>
      <c r="D24" s="6"/>
      <c r="E24" s="6"/>
    </row>
    <row r="25" customFormat="false" ht="15" hidden="false" customHeight="false" outlineLevel="0" collapsed="false">
      <c r="B25" s="17" t="s">
        <v>24</v>
      </c>
      <c r="C25" s="18" t="n">
        <f aca="false">C22-C23-C24</f>
        <v>3812</v>
      </c>
      <c r="D25" s="6"/>
      <c r="E25" s="6"/>
    </row>
    <row r="26" customFormat="false" ht="15" hidden="false" customHeight="false" outlineLevel="0" collapsed="false">
      <c r="B26" s="6" t="s">
        <v>25</v>
      </c>
      <c r="C26" s="19" t="str">
        <f aca="false">IF(ABS(C25-('Cash &amp; Reconciliation'!C10-'Cash &amp; Reconciliation'!C5))&lt;0.5,"Agrees","CHECK")</f>
        <v>Agrees</v>
      </c>
      <c r="D26" s="6"/>
      <c r="E26" s="6"/>
    </row>
    <row r="27" customFormat="false" ht="15" hidden="false" customHeight="false" outlineLevel="0" collapsed="false">
      <c r="B27" s="6" t="s">
        <v>26</v>
      </c>
      <c r="C27" s="7" t="n">
        <f aca="false">'Cash &amp; Reconciliation'!C10</f>
        <v>6812</v>
      </c>
      <c r="D27" s="6"/>
      <c r="E27" s="6"/>
    </row>
    <row r="28" customFormat="false" ht="15" hidden="false" customHeight="false" outlineLevel="0" collapsed="false">
      <c r="B28" s="6" t="s">
        <v>27</v>
      </c>
      <c r="C28" s="7" t="n">
        <f aca="false">'Cash &amp; Reconciliation'!C12</f>
        <v>6780</v>
      </c>
      <c r="D28" s="6"/>
      <c r="E28" s="6"/>
    </row>
    <row r="29" customFormat="false" ht="15" hidden="false" customHeight="false" outlineLevel="0" collapsed="false">
      <c r="B29" s="6" t="s">
        <v>28</v>
      </c>
      <c r="C29" s="20" t="str">
        <f aca="false">'Cash &amp; Reconciliation'!C15</f>
        <v>Reconciled</v>
      </c>
      <c r="D29" s="6"/>
      <c r="E29" s="6"/>
    </row>
    <row r="31" customFormat="false" ht="15" hidden="false" customHeight="false" outlineLevel="0" collapsed="false">
      <c r="B31" s="4" t="s">
        <v>29</v>
      </c>
      <c r="C31" s="5" t="s">
        <v>5</v>
      </c>
      <c r="D31" s="5" t="s">
        <v>6</v>
      </c>
      <c r="E31" s="5" t="s">
        <v>7</v>
      </c>
    </row>
    <row r="32" customFormat="false" ht="15" hidden="false" customHeight="false" outlineLevel="0" collapsed="false">
      <c r="B32" s="6" t="s">
        <v>30</v>
      </c>
      <c r="C32" s="7" t="n">
        <f aca="false">SUMIFS(Expenses!$E$5:$E$14,Expenses!$C$5:$C$14,B32)</f>
        <v>850</v>
      </c>
      <c r="D32" s="8" t="n">
        <v>800</v>
      </c>
      <c r="E32" s="9" t="n">
        <f aca="false">C32-D32</f>
        <v>50</v>
      </c>
    </row>
    <row r="33" customFormat="false" ht="15" hidden="false" customHeight="false" outlineLevel="0" collapsed="false">
      <c r="B33" s="6" t="s">
        <v>31</v>
      </c>
      <c r="C33" s="7" t="n">
        <f aca="false">SUMIFS(Expenses!$E$5:$E$14,Expenses!$C$5:$C$14,B33)</f>
        <v>120</v>
      </c>
      <c r="D33" s="8" t="n">
        <v>120</v>
      </c>
      <c r="E33" s="9" t="n">
        <f aca="false">C33-D33</f>
        <v>0</v>
      </c>
    </row>
    <row r="34" customFormat="false" ht="15" hidden="false" customHeight="false" outlineLevel="0" collapsed="false">
      <c r="B34" s="6" t="s">
        <v>32</v>
      </c>
      <c r="C34" s="7" t="n">
        <f aca="false">SUMIFS(Expenses!$E$5:$E$14,Expenses!$C$5:$C$14,B34)</f>
        <v>1400</v>
      </c>
      <c r="D34" s="8" t="n">
        <v>1400</v>
      </c>
      <c r="E34" s="9" t="n">
        <f aca="false">C34-D34</f>
        <v>0</v>
      </c>
    </row>
    <row r="35" customFormat="false" ht="15" hidden="false" customHeight="false" outlineLevel="0" collapsed="false">
      <c r="B35" s="6" t="s">
        <v>33</v>
      </c>
      <c r="C35" s="7" t="n">
        <f aca="false">SUMIFS(Expenses!$E$5:$E$14,Expenses!$C$5:$C$14,B35)</f>
        <v>430</v>
      </c>
      <c r="D35" s="8" t="n">
        <v>300</v>
      </c>
      <c r="E35" s="9" t="n">
        <f aca="false">C35-D35</f>
        <v>130</v>
      </c>
    </row>
    <row r="36" customFormat="false" ht="15" hidden="false" customHeight="false" outlineLevel="0" collapsed="false">
      <c r="B36" s="6" t="s">
        <v>34</v>
      </c>
      <c r="C36" s="7" t="n">
        <f aca="false">SUMIFS(Expenses!$E$5:$E$14,Expenses!$C$5:$C$14,B36)</f>
        <v>150</v>
      </c>
      <c r="D36" s="8" t="n">
        <v>150</v>
      </c>
      <c r="E36" s="9" t="n">
        <f aca="false">C36-D36</f>
        <v>0</v>
      </c>
    </row>
    <row r="37" customFormat="false" ht="15" hidden="false" customHeight="false" outlineLevel="0" collapsed="false">
      <c r="B37" s="6" t="s">
        <v>35</v>
      </c>
      <c r="C37" s="7" t="n">
        <f aca="false">SUMIFS(Expenses!$E$5:$E$14,Expenses!$C$5:$C$14,B37)</f>
        <v>300</v>
      </c>
      <c r="D37" s="8" t="n">
        <v>300</v>
      </c>
      <c r="E37" s="9" t="n">
        <f aca="false">C37-D37</f>
        <v>0</v>
      </c>
    </row>
    <row r="38" customFormat="false" ht="15" hidden="false" customHeight="false" outlineLevel="0" collapsed="false">
      <c r="B38" s="6" t="s">
        <v>36</v>
      </c>
      <c r="C38" s="7" t="n">
        <f aca="false">SUMIFS(Expenses!$E$5:$E$14,Expenses!$C$5:$C$14,B38)</f>
        <v>90</v>
      </c>
      <c r="D38" s="8" t="n">
        <v>50</v>
      </c>
      <c r="E38" s="9" t="n">
        <f aca="false">C38-D38</f>
        <v>40</v>
      </c>
    </row>
    <row r="40" customFormat="false" ht="15" hidden="false" customHeight="false" outlineLevel="0" collapsed="false">
      <c r="B40" s="17" t="s">
        <v>37</v>
      </c>
      <c r="C40" s="18" t="n">
        <f aca="false">SUM(C32:C38)</f>
        <v>3340</v>
      </c>
      <c r="D40" s="21" t="n">
        <f aca="false">SUM(D32:D38)</f>
        <v>3120</v>
      </c>
      <c r="E40" s="22" t="n">
        <f aca="false">C40-D40</f>
        <v>220</v>
      </c>
    </row>
    <row r="58" customFormat="false" ht="15" hidden="false" customHeight="false" outlineLevel="0" collapsed="false">
      <c r="B58" s="4" t="s">
        <v>38</v>
      </c>
      <c r="C58" s="5"/>
      <c r="D58" s="5"/>
      <c r="E58" s="5"/>
    </row>
    <row r="59" customFormat="false" ht="63.75" hidden="false" customHeight="true" outlineLevel="0" collapsed="false">
      <c r="B59" s="23" t="str">
        <f aca="false">"1. Bar takings are K"&amp;TEXT(C11,"#,##0")&amp;" ("&amp;TEXT(C19,"0.0%")&amp;" of sales) below what the stock movement says was sold, up from K"&amp;TEXT(D11,"#,##0")&amp;" last month. That is about "&amp;TEXT('Bar Stock &amp; Sales'!E22,"0")&amp;" bottles of lager. Recommendation: for two weeks, count stock weekly and match takings to sales every day before drawing conclusions. Breakages, free drinks and unrecorded credit are common causes."</f>
        <v>1. Bar takings are K572 (4.8% of sales) below what the stock movement says was sold, up from K150 last month. That is about 26 bottles of lager. Recommendation: for two weeks, count stock weekly and match takings to sales every day before drawing conclusions. Breakages, free drinks and unrecorded credit are common causes.</v>
      </c>
      <c r="C59" s="23"/>
      <c r="D59" s="23"/>
      <c r="E59" s="23"/>
    </row>
    <row r="60" customFormat="false" ht="51.75" hidden="false" customHeight="true" outlineLevel="0" collapsed="false">
      <c r="B60" s="23" t="str">
        <f aca="false">"2. Rent collection fell from "&amp;TEXT(D16,"0%")&amp;" to "&amp;TEXT(C16,"0%")&amp;". "&amp;INDEX('Rent Roll'!C5:C10,MATCH(MAX('Rent Roll'!H5:H10),'Rent Roll'!H5:H10,0))&amp;" owes K"&amp;TEXT(MAX('Rent Roll'!H5:H10),"#,##0")&amp;" ("&amp;INDEX('Rent Roll'!I5:I10,MATCH(MAX('Rent Roll'!H5:H10),'Rent Roll'!H5:H10,0))&amp;" months). Recommendation: give written notice and agree a payment plan now; arrears are easiest to recover before they reach a third month."</f>
        <v>2. Rent collection fell from 91% to 74%. Tenant E owes K1,500 (2 months). Recommendation: give written notice and agree a payment plan now; arrears are easiest to recover before they reach a third month.</v>
      </c>
      <c r="C60" s="23"/>
      <c r="D60" s="23"/>
      <c r="E60" s="23"/>
    </row>
    <row r="61" customFormat="false" ht="51.75" hidden="false" customHeight="true" outlineLevel="0" collapsed="false">
      <c r="B61" s="23" t="str">
        <f aca="false">"3. Profit is K"&amp;TEXT(C12,"#,##0")&amp;" but cash rose by only K"&amp;TEXT(C25,"#,##0")&amp;". K"&amp;TEXT(C23,"#,##0")&amp;" is rent not yet paid and K"&amp;TEXT(C24,"#,##0")&amp;" is stock bought but not yet sold. Recommendation: judge the business on profit and cash together, and do not spend profit that is still sitting in arrears or on the shelf."</f>
        <v>3. Profit is K5,816 but cash rose by only K3,812. K1,400 is rent not yet paid and K604 is stock bought but not yet sold. Recommendation: judge the business on profit and cash together, and do not spend profit that is still sitting in arrears or on the shelf.</v>
      </c>
      <c r="C61" s="23"/>
      <c r="D61" s="23"/>
      <c r="E61" s="23"/>
    </row>
    <row r="63" customFormat="false" ht="15" hidden="false" customHeight="false" outlineLevel="0" collapsed="false">
      <c r="B63" s="4" t="s">
        <v>39</v>
      </c>
      <c r="C63" s="5"/>
      <c r="D63" s="5"/>
      <c r="E63" s="5"/>
    </row>
    <row r="64" customFormat="false" ht="37.5" hidden="false" customHeight="true" outlineLevel="0" collapsed="false">
      <c r="B64" s="23" t="s">
        <v>40</v>
      </c>
      <c r="C64" s="23"/>
      <c r="D64" s="23"/>
      <c r="E64" s="23"/>
    </row>
    <row r="65" customFormat="false" ht="37.5" hidden="false" customHeight="true" outlineLevel="0" collapsed="false">
      <c r="B65" s="23" t="s">
        <v>41</v>
      </c>
      <c r="C65" s="23"/>
      <c r="D65" s="23"/>
      <c r="E65" s="23"/>
    </row>
    <row r="66" customFormat="false" ht="37.5" hidden="false" customHeight="true" outlineLevel="0" collapsed="false">
      <c r="B66" s="23" t="s">
        <v>42</v>
      </c>
      <c r="C66" s="23"/>
      <c r="D66" s="23"/>
      <c r="E66" s="23"/>
    </row>
    <row r="67" customFormat="false" ht="37.5" hidden="false" customHeight="true" outlineLevel="0" collapsed="false">
      <c r="B67" s="23" t="s">
        <v>43</v>
      </c>
      <c r="C67" s="23"/>
      <c r="D67" s="23"/>
      <c r="E67" s="23"/>
    </row>
    <row r="69" customFormat="false" ht="15" hidden="false" customHeight="false" outlineLevel="0" collapsed="false">
      <c r="B69" s="24" t="s">
        <v>44</v>
      </c>
    </row>
    <row r="70" customFormat="false" ht="15" hidden="false" customHeight="false" outlineLevel="0" collapsed="false">
      <c r="B70" s="25" t="s">
        <v>45</v>
      </c>
    </row>
  </sheetData>
  <mergeCells count="7">
    <mergeCell ref="B59:E59"/>
    <mergeCell ref="B60:E60"/>
    <mergeCell ref="B61:E61"/>
    <mergeCell ref="B64:E64"/>
    <mergeCell ref="B65:E65"/>
    <mergeCell ref="B66:E66"/>
    <mergeCell ref="B67:E67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&amp;C&amp;8 SAMPLE DATA - FICTIONAL</oddHeader>
    <oddFooter>&amp;L&amp;8 Prepared by Caristo Mulenga | CayTech Digital Solutions | WhatsApp +260 963 149 074&amp;R&amp;8 Page &amp;P</oddFooter>
  </headerFooter>
  <rowBreaks count="1" manualBreakCount="1">
    <brk id="57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8"/>
  </cols>
  <sheetData>
    <row r="1" customFormat="false" ht="19.7" hidden="false" customHeight="false" outlineLevel="0" collapsed="false">
      <c r="B1" s="1" t="s">
        <v>46</v>
      </c>
    </row>
    <row r="2" customFormat="false" ht="15" hidden="false" customHeight="false" outlineLevel="0" collapsed="false">
      <c r="B2" s="2" t="s">
        <v>1</v>
      </c>
    </row>
    <row r="4" customFormat="false" ht="33.75" hidden="false" customHeight="true" outlineLevel="0" collapsed="false">
      <c r="B4" s="26" t="s">
        <v>47</v>
      </c>
      <c r="C4" s="26" t="s">
        <v>48</v>
      </c>
      <c r="D4" s="26" t="s">
        <v>49</v>
      </c>
      <c r="E4" s="26" t="s">
        <v>50</v>
      </c>
      <c r="F4" s="26" t="s">
        <v>51</v>
      </c>
      <c r="G4" s="26" t="s">
        <v>52</v>
      </c>
      <c r="H4" s="26" t="s">
        <v>53</v>
      </c>
      <c r="I4" s="26" t="s">
        <v>54</v>
      </c>
      <c r="J4" s="26" t="s">
        <v>55</v>
      </c>
    </row>
    <row r="5" customFormat="false" ht="15" hidden="false" customHeight="false" outlineLevel="0" collapsed="false">
      <c r="B5" s="6" t="s">
        <v>56</v>
      </c>
      <c r="C5" s="6" t="s">
        <v>57</v>
      </c>
      <c r="D5" s="8" t="n">
        <v>900</v>
      </c>
      <c r="E5" s="8" t="n">
        <v>900</v>
      </c>
      <c r="F5" s="7" t="n">
        <f aca="false">D5-E5</f>
        <v>0</v>
      </c>
      <c r="G5" s="8" t="n">
        <v>0</v>
      </c>
      <c r="H5" s="7" t="n">
        <f aca="false">F5+G5</f>
        <v>0</v>
      </c>
      <c r="I5" s="27" t="n">
        <f aca="false">IF(H5=0,0,ROUNDUP(H5/D5,0))</f>
        <v>0</v>
      </c>
      <c r="J5" s="6" t="str">
        <f aca="false">IF(H5=0,"None",IF(I5&gt;=2,"Written notice and payment plan now",IF(E5=0,"Call tenant this week","Agree a date for the balance")))</f>
        <v>None</v>
      </c>
    </row>
    <row r="6" customFormat="false" ht="15" hidden="false" customHeight="false" outlineLevel="0" collapsed="false">
      <c r="B6" s="6" t="s">
        <v>58</v>
      </c>
      <c r="C6" s="6" t="s">
        <v>59</v>
      </c>
      <c r="D6" s="8" t="n">
        <v>900</v>
      </c>
      <c r="E6" s="8" t="n">
        <v>900</v>
      </c>
      <c r="F6" s="7" t="n">
        <f aca="false">D6-E6</f>
        <v>0</v>
      </c>
      <c r="G6" s="8" t="n">
        <v>0</v>
      </c>
      <c r="H6" s="7" t="n">
        <f aca="false">F6+G6</f>
        <v>0</v>
      </c>
      <c r="I6" s="27" t="n">
        <f aca="false">IF(H6=0,0,ROUNDUP(H6/D6,0))</f>
        <v>0</v>
      </c>
      <c r="J6" s="6" t="str">
        <f aca="false">IF(H6=0,"None",IF(I6&gt;=2,"Written notice and payment plan now",IF(E6=0,"Call tenant this week","Agree a date for the balance")))</f>
        <v>None</v>
      </c>
    </row>
    <row r="7" customFormat="false" ht="15" hidden="false" customHeight="false" outlineLevel="0" collapsed="false">
      <c r="B7" s="6" t="s">
        <v>60</v>
      </c>
      <c r="C7" s="6" t="s">
        <v>61</v>
      </c>
      <c r="D7" s="8" t="n">
        <v>800</v>
      </c>
      <c r="E7" s="8" t="n">
        <v>400</v>
      </c>
      <c r="F7" s="7" t="n">
        <f aca="false">D7-E7</f>
        <v>400</v>
      </c>
      <c r="G7" s="8" t="n">
        <v>0</v>
      </c>
      <c r="H7" s="7" t="n">
        <f aca="false">F7+G7</f>
        <v>400</v>
      </c>
      <c r="I7" s="27" t="n">
        <f aca="false">IF(H7=0,0,ROUNDUP(H7/D7,0))</f>
        <v>1</v>
      </c>
      <c r="J7" s="6" t="str">
        <f aca="false">IF(H7=0,"None",IF(I7&gt;=2,"Written notice and payment plan now",IF(E7=0,"Call tenant this week","Agree a date for the balance")))</f>
        <v>Agree a date for the balance</v>
      </c>
    </row>
    <row r="8" customFormat="false" ht="15" hidden="false" customHeight="false" outlineLevel="0" collapsed="false">
      <c r="B8" s="6" t="s">
        <v>62</v>
      </c>
      <c r="C8" s="6" t="s">
        <v>63</v>
      </c>
      <c r="D8" s="8" t="n">
        <v>800</v>
      </c>
      <c r="E8" s="8" t="n">
        <v>800</v>
      </c>
      <c r="F8" s="7" t="n">
        <f aca="false">D8-E8</f>
        <v>0</v>
      </c>
      <c r="G8" s="8" t="n">
        <v>0</v>
      </c>
      <c r="H8" s="7" t="n">
        <f aca="false">F8+G8</f>
        <v>0</v>
      </c>
      <c r="I8" s="27" t="n">
        <f aca="false">IF(H8=0,0,ROUNDUP(H8/D8,0))</f>
        <v>0</v>
      </c>
      <c r="J8" s="6" t="str">
        <f aca="false">IF(H8=0,"None",IF(I8&gt;=2,"Written notice and payment plan now",IF(E8=0,"Call tenant this week","Agree a date for the balance")))</f>
        <v>None</v>
      </c>
    </row>
    <row r="9" customFormat="false" ht="15" hidden="false" customHeight="false" outlineLevel="0" collapsed="false">
      <c r="B9" s="6" t="s">
        <v>64</v>
      </c>
      <c r="C9" s="6" t="s">
        <v>65</v>
      </c>
      <c r="D9" s="8" t="n">
        <v>1000</v>
      </c>
      <c r="E9" s="8" t="n">
        <v>0</v>
      </c>
      <c r="F9" s="7" t="n">
        <f aca="false">D9-E9</f>
        <v>1000</v>
      </c>
      <c r="G9" s="8" t="n">
        <v>500</v>
      </c>
      <c r="H9" s="7" t="n">
        <f aca="false">F9+G9</f>
        <v>1500</v>
      </c>
      <c r="I9" s="27" t="n">
        <f aca="false">IF(H9=0,0,ROUNDUP(H9/D9,0))</f>
        <v>2</v>
      </c>
      <c r="J9" s="6" t="str">
        <f aca="false">IF(H9=0,"None",IF(I9&gt;=2,"Written notice and payment plan now",IF(E9=0,"Call tenant this week","Agree a date for the balance")))</f>
        <v>Written notice and payment plan now</v>
      </c>
    </row>
    <row r="10" customFormat="false" ht="15" hidden="false" customHeight="false" outlineLevel="0" collapsed="false">
      <c r="B10" s="6" t="s">
        <v>66</v>
      </c>
      <c r="C10" s="6" t="s">
        <v>67</v>
      </c>
      <c r="D10" s="8" t="n">
        <v>1000</v>
      </c>
      <c r="E10" s="8" t="n">
        <v>1000</v>
      </c>
      <c r="F10" s="7" t="n">
        <f aca="false">D10-E10</f>
        <v>0</v>
      </c>
      <c r="G10" s="8" t="n">
        <v>0</v>
      </c>
      <c r="H10" s="7" t="n">
        <f aca="false">F10+G10</f>
        <v>0</v>
      </c>
      <c r="I10" s="27" t="n">
        <f aca="false">IF(H10=0,0,ROUNDUP(H10/D10,0))</f>
        <v>0</v>
      </c>
      <c r="J10" s="6" t="str">
        <f aca="false">IF(H10=0,"None",IF(I10&gt;=2,"Written notice and payment plan now",IF(E10=0,"Call tenant this week","Agree a date for the balance")))</f>
        <v>None</v>
      </c>
    </row>
    <row r="11" customFormat="false" ht="15" hidden="false" customHeight="false" outlineLevel="0" collapsed="false">
      <c r="B11" s="17" t="s">
        <v>68</v>
      </c>
      <c r="C11" s="6"/>
      <c r="D11" s="18" t="n">
        <f aca="false">SUM(D5:D10)</f>
        <v>5400</v>
      </c>
      <c r="E11" s="18" t="n">
        <f aca="false">SUM(E5:E10)</f>
        <v>4000</v>
      </c>
      <c r="F11" s="18" t="n">
        <f aca="false">SUM(F5:F10)</f>
        <v>1400</v>
      </c>
      <c r="G11" s="18" t="n">
        <f aca="false">SUM(G5:G10)</f>
        <v>500</v>
      </c>
      <c r="H11" s="18" t="n">
        <f aca="false">SUM(H5:H10)</f>
        <v>1900</v>
      </c>
      <c r="I11" s="6"/>
      <c r="J11" s="17" t="str">
        <f aca="false">TEXT(E11/D11,"0%")&amp;" of Sept rent collected"</f>
        <v>74% of Sept rent collected</v>
      </c>
    </row>
    <row r="13" customFormat="false" ht="15" hidden="false" customHeight="false" outlineLevel="0" collapsed="false">
      <c r="B13" s="25" t="s">
        <v>69</v>
      </c>
    </row>
  </sheetData>
  <printOptions headings="false" gridLines="false" gridLinesSet="true" horizontalCentered="false" verticalCentered="false"/>
  <pageMargins left="0.5" right="0.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&amp;C&amp;8 SAMPLE DATA - FICTIONAL</oddHeader>
    <oddFooter>&amp;L&amp;8 Prepared by Caristo Mulenga | CayTech Digital Solutions | WhatsApp +260 963 149 074&amp;R&amp;8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2" min="10" style="0" width="12"/>
  </cols>
  <sheetData>
    <row r="1" customFormat="false" ht="19.7" hidden="false" customHeight="false" outlineLevel="0" collapsed="false">
      <c r="B1" s="1" t="s">
        <v>70</v>
      </c>
    </row>
    <row r="2" customFormat="false" ht="15" hidden="false" customHeight="false" outlineLevel="0" collapsed="false">
      <c r="B2" s="2" t="s">
        <v>1</v>
      </c>
    </row>
    <row r="4" customFormat="false" ht="33.75" hidden="false" customHeight="true" outlineLevel="0" collapsed="false">
      <c r="B4" s="26" t="s">
        <v>71</v>
      </c>
      <c r="C4" s="26" t="s">
        <v>72</v>
      </c>
      <c r="D4" s="26" t="s">
        <v>73</v>
      </c>
      <c r="E4" s="26" t="s">
        <v>74</v>
      </c>
      <c r="F4" s="26" t="s">
        <v>75</v>
      </c>
      <c r="G4" s="26" t="s">
        <v>76</v>
      </c>
      <c r="H4" s="26" t="s">
        <v>77</v>
      </c>
      <c r="I4" s="26" t="s">
        <v>78</v>
      </c>
      <c r="J4" s="26" t="s">
        <v>79</v>
      </c>
      <c r="K4" s="26" t="s">
        <v>80</v>
      </c>
      <c r="L4" s="26" t="s">
        <v>81</v>
      </c>
    </row>
    <row r="5" customFormat="false" ht="15" hidden="false" customHeight="false" outlineLevel="0" collapsed="false">
      <c r="B5" s="6" t="s">
        <v>82</v>
      </c>
      <c r="C5" s="28" t="n">
        <v>48</v>
      </c>
      <c r="D5" s="28" t="n">
        <v>240</v>
      </c>
      <c r="E5" s="28" t="n">
        <v>60</v>
      </c>
      <c r="F5" s="27" t="n">
        <f aca="false">C5+D5-E5</f>
        <v>228</v>
      </c>
      <c r="G5" s="8" t="n">
        <v>14</v>
      </c>
      <c r="H5" s="8" t="n">
        <v>22</v>
      </c>
      <c r="I5" s="7" t="n">
        <f aca="false">F5*H5</f>
        <v>5016</v>
      </c>
      <c r="J5" s="7" t="n">
        <f aca="false">F5*G5</f>
        <v>3192</v>
      </c>
      <c r="K5" s="7" t="n">
        <f aca="false">I5-J5</f>
        <v>1824</v>
      </c>
      <c r="L5" s="7" t="n">
        <f aca="false">D5*G5</f>
        <v>3360</v>
      </c>
    </row>
    <row r="6" customFormat="false" ht="15" hidden="false" customHeight="false" outlineLevel="0" collapsed="false">
      <c r="B6" s="6" t="s">
        <v>83</v>
      </c>
      <c r="C6" s="28" t="n">
        <v>24</v>
      </c>
      <c r="D6" s="28" t="n">
        <v>120</v>
      </c>
      <c r="E6" s="28" t="n">
        <v>36</v>
      </c>
      <c r="F6" s="27" t="n">
        <f aca="false">C6+D6-E6</f>
        <v>108</v>
      </c>
      <c r="G6" s="8" t="n">
        <v>18</v>
      </c>
      <c r="H6" s="8" t="n">
        <v>28</v>
      </c>
      <c r="I6" s="7" t="n">
        <f aca="false">F6*H6</f>
        <v>3024</v>
      </c>
      <c r="J6" s="7" t="n">
        <f aca="false">F6*G6</f>
        <v>1944</v>
      </c>
      <c r="K6" s="7" t="n">
        <f aca="false">I6-J6</f>
        <v>1080</v>
      </c>
      <c r="L6" s="7" t="n">
        <f aca="false">D6*G6</f>
        <v>2160</v>
      </c>
    </row>
    <row r="7" customFormat="false" ht="15" hidden="false" customHeight="false" outlineLevel="0" collapsed="false">
      <c r="B7" s="6" t="s">
        <v>84</v>
      </c>
      <c r="C7" s="28" t="n">
        <v>36</v>
      </c>
      <c r="D7" s="28" t="n">
        <v>144</v>
      </c>
      <c r="E7" s="28" t="n">
        <v>48</v>
      </c>
      <c r="F7" s="27" t="n">
        <f aca="false">C7+D7-E7</f>
        <v>132</v>
      </c>
      <c r="G7" s="8" t="n">
        <v>6</v>
      </c>
      <c r="H7" s="8" t="n">
        <v>10</v>
      </c>
      <c r="I7" s="7" t="n">
        <f aca="false">F7*H7</f>
        <v>1320</v>
      </c>
      <c r="J7" s="7" t="n">
        <f aca="false">F7*G7</f>
        <v>792</v>
      </c>
      <c r="K7" s="7" t="n">
        <f aca="false">I7-J7</f>
        <v>528</v>
      </c>
      <c r="L7" s="7" t="n">
        <f aca="false">D7*G7</f>
        <v>864</v>
      </c>
    </row>
    <row r="8" customFormat="false" ht="15" hidden="false" customHeight="false" outlineLevel="0" collapsed="false">
      <c r="B8" s="6" t="s">
        <v>85</v>
      </c>
      <c r="C8" s="28" t="n">
        <v>30</v>
      </c>
      <c r="D8" s="28" t="n">
        <v>96</v>
      </c>
      <c r="E8" s="28" t="n">
        <v>42</v>
      </c>
      <c r="F8" s="27" t="n">
        <f aca="false">C8+D8-E8</f>
        <v>84</v>
      </c>
      <c r="G8" s="8" t="n">
        <v>4</v>
      </c>
      <c r="H8" s="8" t="n">
        <v>8</v>
      </c>
      <c r="I8" s="7" t="n">
        <f aca="false">F8*H8</f>
        <v>672</v>
      </c>
      <c r="J8" s="7" t="n">
        <f aca="false">F8*G8</f>
        <v>336</v>
      </c>
      <c r="K8" s="7" t="n">
        <f aca="false">I8-J8</f>
        <v>336</v>
      </c>
      <c r="L8" s="7" t="n">
        <f aca="false">D8*G8</f>
        <v>384</v>
      </c>
    </row>
    <row r="9" customFormat="false" ht="15" hidden="false" customHeight="false" outlineLevel="0" collapsed="false">
      <c r="B9" s="6" t="s">
        <v>86</v>
      </c>
      <c r="C9" s="28" t="n">
        <v>12</v>
      </c>
      <c r="D9" s="28" t="n">
        <v>60</v>
      </c>
      <c r="E9" s="28" t="n">
        <v>16</v>
      </c>
      <c r="F9" s="27" t="n">
        <f aca="false">C9+D9-E9</f>
        <v>56</v>
      </c>
      <c r="G9" s="8" t="n">
        <v>25</v>
      </c>
      <c r="H9" s="8" t="n">
        <v>35</v>
      </c>
      <c r="I9" s="7" t="n">
        <f aca="false">F9*H9</f>
        <v>1960</v>
      </c>
      <c r="J9" s="7" t="n">
        <f aca="false">F9*G9</f>
        <v>1400</v>
      </c>
      <c r="K9" s="7" t="n">
        <f aca="false">I9-J9</f>
        <v>560</v>
      </c>
      <c r="L9" s="7" t="n">
        <f aca="false">D9*G9</f>
        <v>1500</v>
      </c>
    </row>
    <row r="10" customFormat="false" ht="15" hidden="false" customHeight="false" outlineLevel="0" collapsed="false">
      <c r="B10" s="17" t="s">
        <v>68</v>
      </c>
      <c r="C10" s="6"/>
      <c r="D10" s="6"/>
      <c r="E10" s="6"/>
      <c r="F10" s="29" t="n">
        <f aca="false">SUM(F5:F9)</f>
        <v>608</v>
      </c>
      <c r="G10" s="6"/>
      <c r="H10" s="6"/>
      <c r="I10" s="18" t="n">
        <f aca="false">SUM(I5:I9)</f>
        <v>11992</v>
      </c>
      <c r="J10" s="18" t="n">
        <f aca="false">SUM(J5:J9)</f>
        <v>7664</v>
      </c>
      <c r="K10" s="18" t="n">
        <f aca="false">SUM(K5:K9)</f>
        <v>4328</v>
      </c>
      <c r="L10" s="18" t="n">
        <f aca="false">SUM(L5:L9)</f>
        <v>8268</v>
      </c>
    </row>
    <row r="11" customFormat="false" ht="15" hidden="false" customHeight="false" outlineLevel="0" collapsed="false">
      <c r="B11" s="25" t="s">
        <v>87</v>
      </c>
      <c r="F11" s="30" t="n">
        <f aca="false">K10/I10</f>
        <v>0.360907271514343</v>
      </c>
    </row>
    <row r="13" customFormat="false" ht="15" hidden="false" customHeight="false" outlineLevel="0" collapsed="false">
      <c r="B13" s="31" t="s">
        <v>88</v>
      </c>
    </row>
    <row r="14" customFormat="false" ht="15" hidden="false" customHeight="false" outlineLevel="0" collapsed="false">
      <c r="B14" s="32" t="s">
        <v>89</v>
      </c>
      <c r="C14" s="32"/>
      <c r="D14" s="32"/>
      <c r="E14" s="7" t="n">
        <f aca="false">I10</f>
        <v>11992</v>
      </c>
    </row>
    <row r="15" customFormat="false" ht="15" hidden="false" customHeight="false" outlineLevel="0" collapsed="false">
      <c r="B15" s="32" t="s">
        <v>90</v>
      </c>
      <c r="C15" s="32"/>
      <c r="D15" s="32"/>
      <c r="E15" s="8" t="n">
        <v>6820</v>
      </c>
    </row>
    <row r="16" customFormat="false" ht="15" hidden="false" customHeight="false" outlineLevel="0" collapsed="false">
      <c r="B16" s="32" t="s">
        <v>91</v>
      </c>
      <c r="C16" s="32"/>
      <c r="D16" s="32"/>
      <c r="E16" s="8" t="n">
        <v>4600</v>
      </c>
    </row>
    <row r="17" customFormat="false" ht="15" hidden="false" customHeight="false" outlineLevel="0" collapsed="false">
      <c r="B17" s="32" t="s">
        <v>92</v>
      </c>
      <c r="C17" s="32"/>
      <c r="D17" s="32"/>
      <c r="E17" s="7" t="n">
        <f aca="false">E15+E16</f>
        <v>11420</v>
      </c>
    </row>
    <row r="18" customFormat="false" ht="15" hidden="false" customHeight="false" outlineLevel="0" collapsed="false">
      <c r="B18" s="32" t="s">
        <v>93</v>
      </c>
      <c r="C18" s="32"/>
      <c r="D18" s="32"/>
      <c r="E18" s="22" t="n">
        <f aca="false">E17-E14</f>
        <v>-572</v>
      </c>
    </row>
    <row r="19" customFormat="false" ht="15" hidden="false" customHeight="false" outlineLevel="0" collapsed="false">
      <c r="B19" s="32" t="s">
        <v>94</v>
      </c>
      <c r="C19" s="32"/>
      <c r="D19" s="32"/>
      <c r="E19" s="15" t="n">
        <f aca="false">E18/E14</f>
        <v>-0.0476984656437625</v>
      </c>
    </row>
    <row r="20" customFormat="false" ht="15" hidden="false" customHeight="false" outlineLevel="0" collapsed="false">
      <c r="B20" s="32" t="s">
        <v>95</v>
      </c>
      <c r="C20" s="32"/>
      <c r="D20" s="32"/>
      <c r="E20" s="33" t="n">
        <v>0.02</v>
      </c>
    </row>
    <row r="21" customFormat="false" ht="15" hidden="false" customHeight="false" outlineLevel="0" collapsed="false">
      <c r="B21" s="32" t="s">
        <v>96</v>
      </c>
      <c r="C21" s="32"/>
      <c r="D21" s="32"/>
      <c r="E21" s="34" t="str">
        <f aca="false">IF(ABS(E19)&lt;=E20,"Within tolerance","INVESTIGATE")</f>
        <v>INVESTIGATE</v>
      </c>
    </row>
    <row r="22" customFormat="false" ht="15" hidden="false" customHeight="false" outlineLevel="0" collapsed="false">
      <c r="B22" s="32" t="s">
        <v>97</v>
      </c>
      <c r="C22" s="32"/>
      <c r="D22" s="32"/>
      <c r="E22" s="27" t="n">
        <f aca="false">MAX(0,-E18)/H5</f>
        <v>26</v>
      </c>
    </row>
    <row r="24" customFormat="false" ht="15" hidden="false" customHeight="false" outlineLevel="0" collapsed="false">
      <c r="B24" s="25" t="s">
        <v>98</v>
      </c>
    </row>
    <row r="25" customFormat="false" ht="15" hidden="false" customHeight="false" outlineLevel="0" collapsed="false">
      <c r="B25" s="25" t="s">
        <v>99</v>
      </c>
    </row>
  </sheetData>
  <mergeCells count="9"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&amp;C&amp;8 SAMPLE DATA - FICTIONAL</oddHeader>
    <oddFooter>&amp;L&amp;8 Prepared by Caristo Mulenga | CayTech Digital Solutions | WhatsApp +260 963 149 074&amp;R&amp;8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3"/>
  </cols>
  <sheetData>
    <row r="1" customFormat="false" ht="19.7" hidden="false" customHeight="false" outlineLevel="0" collapsed="false">
      <c r="B1" s="1" t="s">
        <v>100</v>
      </c>
    </row>
    <row r="2" customFormat="false" ht="15" hidden="false" customHeight="false" outlineLevel="0" collapsed="false">
      <c r="B2" s="2" t="s">
        <v>1</v>
      </c>
    </row>
    <row r="4" customFormat="false" ht="21.75" hidden="false" customHeight="true" outlineLevel="0" collapsed="false">
      <c r="B4" s="26" t="s">
        <v>101</v>
      </c>
      <c r="C4" s="26" t="s">
        <v>102</v>
      </c>
      <c r="D4" s="26" t="s">
        <v>103</v>
      </c>
      <c r="E4" s="26" t="s">
        <v>104</v>
      </c>
    </row>
    <row r="5" customFormat="false" ht="15" hidden="false" customHeight="false" outlineLevel="0" collapsed="false">
      <c r="B5" s="6" t="s">
        <v>105</v>
      </c>
      <c r="C5" s="6" t="s">
        <v>30</v>
      </c>
      <c r="D5" s="6" t="s">
        <v>106</v>
      </c>
      <c r="E5" s="8" t="n">
        <v>450</v>
      </c>
    </row>
    <row r="6" customFormat="false" ht="15" hidden="false" customHeight="false" outlineLevel="0" collapsed="false">
      <c r="B6" s="6" t="s">
        <v>107</v>
      </c>
      <c r="C6" s="6" t="s">
        <v>31</v>
      </c>
      <c r="D6" s="6" t="s">
        <v>108</v>
      </c>
      <c r="E6" s="8" t="n">
        <v>120</v>
      </c>
    </row>
    <row r="7" customFormat="false" ht="15" hidden="false" customHeight="false" outlineLevel="0" collapsed="false">
      <c r="B7" s="6" t="s">
        <v>109</v>
      </c>
      <c r="C7" s="6" t="s">
        <v>32</v>
      </c>
      <c r="D7" s="6" t="s">
        <v>110</v>
      </c>
      <c r="E7" s="8" t="n">
        <v>900</v>
      </c>
    </row>
    <row r="8" customFormat="false" ht="15" hidden="false" customHeight="false" outlineLevel="0" collapsed="false">
      <c r="B8" s="6" t="s">
        <v>109</v>
      </c>
      <c r="C8" s="6" t="s">
        <v>32</v>
      </c>
      <c r="D8" s="6" t="s">
        <v>111</v>
      </c>
      <c r="E8" s="8" t="n">
        <v>500</v>
      </c>
    </row>
    <row r="9" customFormat="false" ht="15" hidden="false" customHeight="false" outlineLevel="0" collapsed="false">
      <c r="B9" s="6" t="s">
        <v>112</v>
      </c>
      <c r="C9" s="6" t="s">
        <v>33</v>
      </c>
      <c r="D9" s="6" t="s">
        <v>113</v>
      </c>
      <c r="E9" s="8" t="n">
        <v>180</v>
      </c>
    </row>
    <row r="10" customFormat="false" ht="15" hidden="false" customHeight="false" outlineLevel="0" collapsed="false">
      <c r="B10" s="6" t="s">
        <v>114</v>
      </c>
      <c r="C10" s="6" t="s">
        <v>34</v>
      </c>
      <c r="D10" s="6" t="s">
        <v>115</v>
      </c>
      <c r="E10" s="8" t="n">
        <v>150</v>
      </c>
    </row>
    <row r="11" customFormat="false" ht="15" hidden="false" customHeight="false" outlineLevel="0" collapsed="false">
      <c r="B11" s="6" t="s">
        <v>116</v>
      </c>
      <c r="C11" s="6" t="s">
        <v>35</v>
      </c>
      <c r="D11" s="6" t="s">
        <v>117</v>
      </c>
      <c r="E11" s="8" t="n">
        <v>300</v>
      </c>
    </row>
    <row r="12" customFormat="false" ht="15" hidden="false" customHeight="false" outlineLevel="0" collapsed="false">
      <c r="B12" s="6" t="s">
        <v>118</v>
      </c>
      <c r="C12" s="6" t="s">
        <v>33</v>
      </c>
      <c r="D12" s="6" t="s">
        <v>119</v>
      </c>
      <c r="E12" s="8" t="n">
        <v>250</v>
      </c>
    </row>
    <row r="13" customFormat="false" ht="15" hidden="false" customHeight="false" outlineLevel="0" collapsed="false">
      <c r="B13" s="6" t="s">
        <v>120</v>
      </c>
      <c r="C13" s="6" t="s">
        <v>36</v>
      </c>
      <c r="D13" s="6" t="s">
        <v>121</v>
      </c>
      <c r="E13" s="8" t="n">
        <v>90</v>
      </c>
    </row>
    <row r="14" customFormat="false" ht="15" hidden="false" customHeight="false" outlineLevel="0" collapsed="false">
      <c r="B14" s="6" t="s">
        <v>122</v>
      </c>
      <c r="C14" s="6" t="s">
        <v>30</v>
      </c>
      <c r="D14" s="6" t="s">
        <v>106</v>
      </c>
      <c r="E14" s="8" t="n">
        <v>400</v>
      </c>
    </row>
    <row r="15" customFormat="false" ht="15" hidden="false" customHeight="false" outlineLevel="0" collapsed="false">
      <c r="D15" s="35" t="s">
        <v>68</v>
      </c>
      <c r="E15" s="18" t="n">
        <f aca="false">SUM(E5:E14)</f>
        <v>3340</v>
      </c>
    </row>
  </sheetData>
  <printOptions headings="false" gridLines="false" gridLinesSet="true" horizontalCentered="false" verticalCentered="false"/>
  <pageMargins left="0.5" right="0.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&amp;C&amp;8 SAMPLE DATA - FICTIONAL</oddHeader>
    <oddFooter>&amp;L&amp;8 Prepared by Caristo Mulenga | CayTech Digital Solutions | WhatsApp +260 963 149 074&amp;R&amp;8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</cols>
  <sheetData>
    <row r="1" customFormat="false" ht="19.7" hidden="false" customHeight="false" outlineLevel="0" collapsed="false">
      <c r="B1" s="1" t="s">
        <v>123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124</v>
      </c>
    </row>
    <row r="5" customFormat="false" ht="15" hidden="false" customHeight="false" outlineLevel="0" collapsed="false">
      <c r="B5" s="6" t="s">
        <v>125</v>
      </c>
      <c r="C5" s="8" t="n">
        <v>3000</v>
      </c>
    </row>
    <row r="6" customFormat="false" ht="15" hidden="false" customHeight="false" outlineLevel="0" collapsed="false">
      <c r="B6" s="6" t="s">
        <v>126</v>
      </c>
      <c r="C6" s="7" t="n">
        <f aca="false">'Rent Roll'!E11</f>
        <v>4000</v>
      </c>
    </row>
    <row r="7" customFormat="false" ht="15" hidden="false" customHeight="false" outlineLevel="0" collapsed="false">
      <c r="B7" s="6" t="s">
        <v>127</v>
      </c>
      <c r="C7" s="7" t="n">
        <f aca="false">'Bar Stock &amp; Sales'!E17</f>
        <v>11420</v>
      </c>
    </row>
    <row r="8" customFormat="false" ht="15" hidden="false" customHeight="false" outlineLevel="0" collapsed="false">
      <c r="B8" s="6" t="s">
        <v>128</v>
      </c>
      <c r="C8" s="7" t="n">
        <f aca="false">-'Bar Stock &amp; Sales'!L10</f>
        <v>-8268</v>
      </c>
    </row>
    <row r="9" customFormat="false" ht="15" hidden="false" customHeight="false" outlineLevel="0" collapsed="false">
      <c r="B9" s="6" t="s">
        <v>11</v>
      </c>
      <c r="C9" s="7" t="n">
        <f aca="false">-Expenses!E15</f>
        <v>-3340</v>
      </c>
    </row>
    <row r="10" customFormat="false" ht="15" hidden="false" customHeight="false" outlineLevel="0" collapsed="false">
      <c r="B10" s="17" t="s">
        <v>129</v>
      </c>
      <c r="C10" s="18" t="n">
        <f aca="false">SUM(C5:C9)</f>
        <v>6812</v>
      </c>
    </row>
    <row r="12" customFormat="false" ht="15" hidden="false" customHeight="false" outlineLevel="0" collapsed="false">
      <c r="B12" s="6" t="s">
        <v>130</v>
      </c>
      <c r="C12" s="8" t="n">
        <v>6780</v>
      </c>
    </row>
    <row r="13" customFormat="false" ht="15" hidden="false" customHeight="false" outlineLevel="0" collapsed="false">
      <c r="B13" s="6" t="s">
        <v>131</v>
      </c>
      <c r="C13" s="9" t="n">
        <f aca="false">C12-C10</f>
        <v>-32</v>
      </c>
    </row>
    <row r="14" customFormat="false" ht="15" hidden="false" customHeight="false" outlineLevel="0" collapsed="false">
      <c r="B14" s="6" t="s">
        <v>95</v>
      </c>
      <c r="C14" s="8" t="n">
        <v>50</v>
      </c>
    </row>
    <row r="15" customFormat="false" ht="15" hidden="false" customHeight="false" outlineLevel="0" collapsed="false">
      <c r="B15" s="17" t="s">
        <v>132</v>
      </c>
      <c r="C15" s="36" t="str">
        <f aca="false">IF(ABS(C13)&lt;=C14,"Reconciled","INVESTIGATE")</f>
        <v>Reconciled</v>
      </c>
    </row>
    <row r="17" customFormat="false" ht="25.5" hidden="false" customHeight="true" outlineLevel="0" collapsed="false">
      <c r="B17" s="37" t="s">
        <v>133</v>
      </c>
      <c r="C17" s="37"/>
    </row>
  </sheetData>
  <mergeCells count="1">
    <mergeCell ref="B17:C17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&amp;C&amp;8 SAMPLE DATA - FICTIONAL</oddHeader>
    <oddFooter>&amp;L&amp;8 Prepared by Caristo Mulenga | CayTech Digital Solutions | WhatsApp +260 963 149 074&amp;R&amp;8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2"/>
  </cols>
  <sheetData>
    <row r="1" customFormat="false" ht="19.7" hidden="false" customHeight="false" outlineLevel="0" collapsed="false">
      <c r="B1" s="1" t="s">
        <v>134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135</v>
      </c>
    </row>
    <row r="5" customFormat="false" ht="30" hidden="false" customHeight="true" outlineLevel="0" collapsed="false">
      <c r="B5" s="26" t="s">
        <v>136</v>
      </c>
      <c r="C5" s="26" t="s">
        <v>137</v>
      </c>
      <c r="D5" s="26" t="s">
        <v>138</v>
      </c>
      <c r="E5" s="26" t="s">
        <v>132</v>
      </c>
    </row>
    <row r="6" customFormat="false" ht="27.75" hidden="false" customHeight="true" outlineLevel="0" collapsed="false">
      <c r="B6" s="38" t="s">
        <v>139</v>
      </c>
      <c r="C6" s="38" t="s">
        <v>140</v>
      </c>
      <c r="D6" s="38" t="s">
        <v>141</v>
      </c>
      <c r="E6" s="38" t="s">
        <v>142</v>
      </c>
    </row>
    <row r="7" customFormat="false" ht="27.75" hidden="false" customHeight="true" outlineLevel="0" collapsed="false">
      <c r="B7" s="38" t="s">
        <v>143</v>
      </c>
      <c r="C7" s="38" t="s">
        <v>144</v>
      </c>
      <c r="D7" s="38" t="s">
        <v>145</v>
      </c>
      <c r="E7" s="38" t="s">
        <v>142</v>
      </c>
    </row>
    <row r="8" customFormat="false" ht="27.75" hidden="false" customHeight="true" outlineLevel="0" collapsed="false">
      <c r="B8" s="38" t="s">
        <v>146</v>
      </c>
      <c r="C8" s="38" t="s">
        <v>147</v>
      </c>
      <c r="D8" s="38" t="s">
        <v>148</v>
      </c>
      <c r="E8" s="38" t="s">
        <v>142</v>
      </c>
    </row>
    <row r="9" customFormat="false" ht="27.75" hidden="false" customHeight="true" outlineLevel="0" collapsed="false">
      <c r="B9" s="38" t="s">
        <v>149</v>
      </c>
      <c r="C9" s="38" t="s">
        <v>147</v>
      </c>
      <c r="D9" s="38" t="s">
        <v>150</v>
      </c>
      <c r="E9" s="38" t="s">
        <v>142</v>
      </c>
    </row>
    <row r="10" customFormat="false" ht="27.75" hidden="false" customHeight="true" outlineLevel="0" collapsed="false">
      <c r="B10" s="38" t="s">
        <v>151</v>
      </c>
      <c r="C10" s="38" t="s">
        <v>152</v>
      </c>
      <c r="D10" s="38" t="s">
        <v>153</v>
      </c>
      <c r="E10" s="39" t="s">
        <v>154</v>
      </c>
    </row>
    <row r="11" customFormat="false" ht="27.75" hidden="false" customHeight="true" outlineLevel="0" collapsed="false">
      <c r="B11" s="38" t="s">
        <v>155</v>
      </c>
      <c r="C11" s="38" t="s">
        <v>144</v>
      </c>
      <c r="D11" s="38" t="s">
        <v>156</v>
      </c>
      <c r="E11" s="38" t="s">
        <v>157</v>
      </c>
    </row>
  </sheetData>
  <printOptions headings="false" gridLines="false" gridLinesSet="true" horizontalCentered="false" verticalCentered="false"/>
  <pageMargins left="0.5" right="0.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&amp;C&amp;8 SAMPLE DATA - FICTIONAL</oddHeader>
    <oddFooter>&amp;L&amp;8 Prepared by Caristo Mulenga | CayTech Digital Solutions | WhatsApp +260 963 149 074&amp;R&amp;8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9.7" hidden="false" customHeight="false" outlineLevel="0" collapsed="false">
      <c r="B1" s="1" t="s">
        <v>158</v>
      </c>
    </row>
    <row r="2" customFormat="false" ht="15" hidden="false" customHeight="false" outlineLevel="0" collapsed="false">
      <c r="B2" s="2" t="s">
        <v>1</v>
      </c>
    </row>
    <row r="4" customFormat="false" ht="21.75" hidden="false" customHeight="true" outlineLevel="0" collapsed="false">
      <c r="B4" s="40" t="s">
        <v>159</v>
      </c>
      <c r="C4" s="38" t="s">
        <v>160</v>
      </c>
    </row>
    <row r="5" customFormat="false" ht="54" hidden="false" customHeight="true" outlineLevel="0" collapsed="false">
      <c r="B5" s="40" t="s">
        <v>161</v>
      </c>
      <c r="C5" s="38" t="s">
        <v>162</v>
      </c>
    </row>
    <row r="6" customFormat="false" ht="54" hidden="false" customHeight="true" outlineLevel="0" collapsed="false">
      <c r="B6" s="40" t="s">
        <v>163</v>
      </c>
      <c r="C6" s="38" t="s">
        <v>164</v>
      </c>
    </row>
    <row r="7" customFormat="false" ht="37.5" hidden="false" customHeight="true" outlineLevel="0" collapsed="false">
      <c r="B7" s="40" t="s">
        <v>165</v>
      </c>
      <c r="C7" s="38" t="s">
        <v>166</v>
      </c>
    </row>
    <row r="8" customFormat="false" ht="37.5" hidden="false" customHeight="true" outlineLevel="0" collapsed="false">
      <c r="B8" s="40" t="s">
        <v>167</v>
      </c>
      <c r="C8" s="38" t="s">
        <v>168</v>
      </c>
    </row>
    <row r="9" customFormat="false" ht="37.5" hidden="false" customHeight="true" outlineLevel="0" collapsed="false">
      <c r="B9" s="40" t="s">
        <v>169</v>
      </c>
      <c r="C9" s="38" t="s">
        <v>170</v>
      </c>
    </row>
    <row r="10" customFormat="false" ht="37.5" hidden="false" customHeight="true" outlineLevel="0" collapsed="false">
      <c r="B10" s="40" t="s">
        <v>171</v>
      </c>
      <c r="C10" s="38" t="s">
        <v>172</v>
      </c>
    </row>
    <row r="11" customFormat="false" ht="54" hidden="false" customHeight="true" outlineLevel="0" collapsed="false">
      <c r="B11" s="40" t="s">
        <v>173</v>
      </c>
      <c r="C11" s="38" t="s">
        <v>174</v>
      </c>
    </row>
    <row r="12" customFormat="false" ht="21.75" hidden="false" customHeight="true" outlineLevel="0" collapsed="false">
      <c r="B12" s="40" t="s">
        <v>175</v>
      </c>
      <c r="C12" s="38" t="s">
        <v>176</v>
      </c>
    </row>
  </sheetData>
  <printOptions headings="false" gridLines="false" gridLinesSet="true" horizontalCentered="false" verticalCentered="false"/>
  <pageMargins left="0.5" right="0.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&amp;C&amp;8 SAMPLE DATA - FICTIONAL</oddHeader>
    <oddFooter>&amp;L&amp;8 Prepared by Caristo Mulenga | CayTech Digital Solutions | WhatsApp +260 963 149 074&amp;R&amp;8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2026-10-26T23:19:42Z</dcterms:created>
  <dc:creator>openpyxl</dc:creator>
  <dc:description/>
  <dc:language>en-US</dc:language>
  <cp:lastModifiedBy/>
  <dcterms:modified xsi:type="dcterms:W3CDTF">2026-10-27T01:19:45Z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